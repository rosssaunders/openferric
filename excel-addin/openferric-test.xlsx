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osssaunders/DevDrive/rosssaunders/openferric/excel-addin/"/>
    </mc:Choice>
  </mc:AlternateContent>
  <xr:revisionPtr revIDLastSave="0" documentId="13_ncr:1_{B66279F0-3351-2940-BADD-B934DF78C159}" xr6:coauthVersionLast="47" xr6:coauthVersionMax="47" xr10:uidLastSave="{00000000-0000-0000-0000-000000000000}"/>
  <bookViews>
    <workbookView xWindow="0" yWindow="680" windowWidth="34200" windowHeight="20360" xr2:uid="{00000000-000D-0000-FFFF-FFFF00000000}"/>
  </bookViews>
  <sheets>
    <sheet name="BS Pricing" sheetId="1" r:id="rId1"/>
    <sheet name="Heston" sheetId="2" r:id="rId2"/>
    <sheet name="Barriers" sheetId="3" r:id="rId3"/>
    <sheet name="Bonds &amp; CDS" sheetId="4" r:id="rId4"/>
    <sheet name="SABR Vol" sheetId="5" r:id="rId5"/>
    <sheet name="Va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6" l="1"/>
  <c r="D58" i="6"/>
  <c r="D57" i="6"/>
  <c r="B59" i="6"/>
  <c r="B58" i="6"/>
  <c r="B57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E12" i="4"/>
  <c r="E33" i="4"/>
  <c r="B33" i="4"/>
  <c r="B34" i="4" s="1"/>
  <c r="B23" i="4"/>
  <c r="B22" i="4"/>
  <c r="B21" i="4"/>
  <c r="B20" i="4"/>
  <c r="B19" i="4"/>
  <c r="B18" i="4"/>
  <c r="B17" i="4"/>
  <c r="B16" i="4"/>
  <c r="B12" i="4"/>
  <c r="B30" i="3"/>
  <c r="D30" i="3"/>
  <c r="E20" i="3"/>
  <c r="E19" i="3"/>
  <c r="E18" i="3"/>
  <c r="E17" i="3"/>
  <c r="E27" i="3"/>
  <c r="E26" i="3"/>
  <c r="E25" i="3"/>
  <c r="E24" i="3"/>
  <c r="B27" i="3"/>
  <c r="B26" i="3"/>
  <c r="B25" i="3"/>
  <c r="B24" i="3"/>
  <c r="B20" i="3"/>
  <c r="B19" i="3"/>
  <c r="B18" i="3"/>
  <c r="B17" i="3"/>
  <c r="E33" i="2"/>
  <c r="E32" i="2"/>
  <c r="E31" i="2"/>
  <c r="E30" i="2"/>
  <c r="E29" i="2"/>
  <c r="E28" i="2"/>
  <c r="E27" i="2"/>
  <c r="E26" i="2"/>
  <c r="E25" i="2"/>
  <c r="E20" i="2"/>
  <c r="E19" i="2"/>
  <c r="D33" i="2"/>
  <c r="D32" i="2"/>
  <c r="D31" i="2"/>
  <c r="D30" i="2"/>
  <c r="D29" i="2"/>
  <c r="D28" i="2"/>
  <c r="D27" i="2"/>
  <c r="D26" i="2"/>
  <c r="D25" i="2"/>
  <c r="B33" i="2"/>
  <c r="B32" i="2"/>
  <c r="B31" i="2"/>
  <c r="B30" i="2"/>
  <c r="B29" i="2"/>
  <c r="B28" i="2"/>
  <c r="B27" i="2"/>
  <c r="B26" i="2"/>
  <c r="B25" i="2"/>
  <c r="B21" i="2"/>
  <c r="B20" i="2"/>
  <c r="B19" i="2"/>
  <c r="D35" i="1"/>
  <c r="D34" i="1"/>
  <c r="D33" i="1"/>
  <c r="D32" i="1"/>
  <c r="D31" i="1"/>
  <c r="D30" i="1"/>
  <c r="D29" i="1"/>
  <c r="D28" i="1"/>
  <c r="D27" i="1"/>
  <c r="B35" i="1"/>
  <c r="B34" i="1"/>
  <c r="B33" i="1"/>
  <c r="B32" i="1"/>
  <c r="B31" i="1"/>
  <c r="B30" i="1"/>
  <c r="B29" i="1"/>
  <c r="B28" i="1"/>
  <c r="B27" i="1"/>
  <c r="B19" i="1"/>
  <c r="B18" i="1"/>
  <c r="B23" i="1"/>
  <c r="D23" i="1"/>
  <c r="D19" i="1"/>
  <c r="D18" i="1"/>
  <c r="D14" i="1"/>
  <c r="D13" i="1"/>
  <c r="B14" i="1"/>
  <c r="B13" i="1"/>
</calcChain>
</file>

<file path=xl/sharedStrings.xml><?xml version="1.0" encoding="utf-8"?>
<sst xmlns="http://schemas.openxmlformats.org/spreadsheetml/2006/main" count="181" uniqueCount="146">
  <si>
    <t>OpenFerric — Black-Scholes Option Pricing</t>
  </si>
  <si>
    <t>Market Parameters</t>
  </si>
  <si>
    <t>Spot (S)</t>
  </si>
  <si>
    <t>Strike (K)</t>
  </si>
  <si>
    <t>Rate (r)</t>
  </si>
  <si>
    <t>Div Yield (q)</t>
  </si>
  <si>
    <t>Vol (σ)</t>
  </si>
  <si>
    <t>Maturity (T)</t>
  </si>
  <si>
    <t>Option Prices</t>
  </si>
  <si>
    <t>Function</t>
  </si>
  <si>
    <t>Result</t>
  </si>
  <si>
    <t>Formula</t>
  </si>
  <si>
    <t>Call Price</t>
  </si>
  <si>
    <t>European call</t>
  </si>
  <si>
    <t>Put Price</t>
  </si>
  <si>
    <t>European put</t>
  </si>
  <si>
    <t>Greeks (Call)</t>
  </si>
  <si>
    <t>Greek</t>
  </si>
  <si>
    <t>All Greeks</t>
  </si>
  <si>
    <t>Δ, Γ, V, Θ, ρ, vanna, volga</t>
  </si>
  <si>
    <t>All Greeks (Put)</t>
  </si>
  <si>
    <t>Implied Volatility</t>
  </si>
  <si>
    <t>Option Price</t>
  </si>
  <si>
    <t>Implied Vol (Call)</t>
  </si>
  <si>
    <t>Should recover ~20%</t>
  </si>
  <si>
    <t>Strike Ladder (Calls)</t>
  </si>
  <si>
    <t>Strike</t>
  </si>
  <si>
    <t>Price</t>
  </si>
  <si>
    <t>OpenFerric — Heston Stochastic Volatility</t>
  </si>
  <si>
    <t>Heston Parameters</t>
  </si>
  <si>
    <t>v₀ (init var)</t>
  </si>
  <si>
    <t>κ (mean rev)</t>
  </si>
  <si>
    <t>θ (long var)</t>
  </si>
  <si>
    <t>σᵥ (vol of vol)</t>
  </si>
  <si>
    <t>ρ (correlation)</t>
  </si>
  <si>
    <t>Heston Prices</t>
  </si>
  <si>
    <t>Heston Call</t>
  </si>
  <si>
    <t>Heston Put</t>
  </si>
  <si>
    <t>BS Call (σ=20%)</t>
  </si>
  <si>
    <t>BS comparison at σ=√v₀=20%</t>
  </si>
  <si>
    <t>Heston Smile (Strike Ladder)</t>
  </si>
  <si>
    <t>BS Call</t>
  </si>
  <si>
    <t>Heston Formula</t>
  </si>
  <si>
    <t>OpenFerric — Barrier Options</t>
  </si>
  <si>
    <t>Barrier Levels</t>
  </si>
  <si>
    <t>Upper Barrier</t>
  </si>
  <si>
    <t>Lower Barrier</t>
  </si>
  <si>
    <t>Barrier Option Prices (Calls)</t>
  </si>
  <si>
    <t>Type</t>
  </si>
  <si>
    <t>Up-and-Out Call</t>
  </si>
  <si>
    <t>Up-and-In Call</t>
  </si>
  <si>
    <t>Down-and-Out Call</t>
  </si>
  <si>
    <t>Down-and-In Call</t>
  </si>
  <si>
    <t>Barrier Option Prices (Puts)</t>
  </si>
  <si>
    <t>Up-and-Out Put</t>
  </si>
  <si>
    <t>Up-and-In Put</t>
  </si>
  <si>
    <t>Down-and-Out Put</t>
  </si>
  <si>
    <t>Down-and-In Put</t>
  </si>
  <si>
    <t>In/Out Parity Check (should equal vanilla)</t>
  </si>
  <si>
    <t>Up In+Out Call</t>
  </si>
  <si>
    <t>vs Vanilla:</t>
  </si>
  <si>
    <t>OpenFerric — Fixed Income &amp; Credit</t>
  </si>
  <si>
    <t>Bond Parameters</t>
  </si>
  <si>
    <t>Face Value</t>
  </si>
  <si>
    <t>Coupon Rate</t>
  </si>
  <si>
    <t>Maturity (yrs)</t>
  </si>
  <si>
    <t>Yield</t>
  </si>
  <si>
    <t>Frequency</t>
  </si>
  <si>
    <t>Bond Pricing</t>
  </si>
  <si>
    <t>Metric</t>
  </si>
  <si>
    <t>Bond Price</t>
  </si>
  <si>
    <t>Should be &gt; par (coupon &gt; yield)</t>
  </si>
  <si>
    <t>Yield Sensitivity</t>
  </si>
  <si>
    <t>CDS Parameters</t>
  </si>
  <si>
    <t>Notional</t>
  </si>
  <si>
    <t>Recovery</t>
  </si>
  <si>
    <t>Hazard Rate</t>
  </si>
  <si>
    <t>Discount Rate</t>
  </si>
  <si>
    <t>CDS Fair Spread</t>
  </si>
  <si>
    <t>Fair Spread</t>
  </si>
  <si>
    <t>In decimal (multiply by 10000 for bps)</t>
  </si>
  <si>
    <t>Spread (bps)</t>
  </si>
  <si>
    <t>OpenFerric — SABR Implied Volatility</t>
  </si>
  <si>
    <t>SABR Parameters</t>
  </si>
  <si>
    <t>Forward (F)</t>
  </si>
  <si>
    <t>α (alpha)</t>
  </si>
  <si>
    <t>β (beta)</t>
  </si>
  <si>
    <t>ρ (rho)</t>
  </si>
  <si>
    <t>ν (nu)</t>
  </si>
  <si>
    <t>SABR Smile (Strike vs Implied Vol)</t>
  </si>
  <si>
    <t>SABR Vol</t>
  </si>
  <si>
    <t>OpenFerric — Historical Value-at-Risk</t>
  </si>
  <si>
    <t>Sample Returns (daily)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</si>
  <si>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</si>
  <si>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</si>
  <si>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</si>
  <si>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</si>
  <si>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</si>
  <si>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</si>
  <si>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</si>
  <si>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</si>
  <si>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</si>
  <si>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</si>
  <si>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</si>
  <si>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</si>
  <si>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</si>
  <si>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</si>
  <si>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</si>
  <si>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</si>
  <si>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</si>
  <si>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</si>
  <si>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</si>
  <si>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</si>
  <si>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</si>
  <si>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</si>
  <si>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</si>
  <si>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</si>
  <si>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</si>
  <si>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</si>
  <si>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</si>
  <si>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</si>
  <si>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</si>
  <si>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</si>
  <si>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</si>
  <si>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</si>
  <si>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</si>
  <si>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</si>
  <si>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</si>
  <si>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</si>
  <si>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</si>
  <si>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</si>
  <si>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</si>
  <si>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</si>
  <si>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</si>
  <si>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</si>
  <si>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</si>
  <si>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</si>
  <si>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</si>
  <si>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</si>
  <si>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</si>
  <si>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</si>
  <si>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</si>
  <si>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</si>
  <si>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VaR Calculation</t>
  </si>
  <si>
    <t>Confidence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</si>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</sst>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"/>
    <numFmt numFmtId="165" formatCode="0.0000"/>
    <numFmt numFmtId="166" formatCode="#,##0.0"/>
    <numFmt numFmtId="167" formatCode="0.000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78D4"/>
      <name val="Calibri"/>
    </font>
    <font>
      <b/>
      <sz val="11"/>
      <name val="Calibri"/>
    </font>
    <font>
      <b/>
      <sz val="11"/>
      <color rgb="FF107C10"/>
      <name val="Consolas"/>
    </font>
    <font>
      <sz val="11"/>
      <name val="Consolas"/>
    </font>
    <font>
      <sz val="10"/>
      <color rgb="FF888888"/>
      <name val="Calibri"/>
    </font>
    <font>
      <sz val="11"/>
      <color rgb="FF888888"/>
      <name val="Consolas"/>
    </font>
    <font>
      <b/>
      <sz val="12"/>
      <color rgb="FF0078D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8D4"/>
        <b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right"/>
    </xf>
    <xf numFmtId="10" fontId="0" fillId="0" borderId="0" xfId="0" applyNumberFormat="1"/>
    <xf numFmtId="0" fontId="3" fillId="0" borderId="0" xfId="0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/>
    <xf numFmtId="10" fontId="4" fillId="0" borderId="0" xfId="0" applyNumberFormat="1" applyFont="1"/>
    <xf numFmtId="164" fontId="7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0" fillId="0" borderId="0" xfId="0" applyNumberFormat="1"/>
    <xf numFmtId="9" fontId="0" fillId="0" borderId="0" xfId="0" applyNumberFormat="1"/>
    <xf numFmtId="167" fontId="4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4D90DB-06F6-484F-A73A-BE3EB8AA176F}">
  <we:reference id="b2c3d4e5-f6a7-8901-bcde-0fe331c00001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_xldudf_OPENFERRIC_BS_PRICE</we:customFunctionIds>
        <we:customFunctionIds>_xldudf_OPENFERRIC_BS_IMPLIED_VOL</we:customFunctionIds>
        <we:customFunctionIds>_xldudf_OPENFERRIC_BS_GREEKS</we:customFunctionIds>
        <we:customFunctionIds>_xldudf_OPENFERRIC_HESTON_PRICE</we:customFunctionIds>
        <we:customFunctionIds>_xldudf_OPENFERRIC_BARRIER_PRICE</we:customFunctionIds>
        <we:customFunctionIds>_xldudf_OPENFERRIC_BOND_PRICE</we:customFunctionIds>
        <we:customFunctionIds>_xldudf_OPENFERRIC_CDS_SPREAD</we:customFunctionIds>
        <we:customFunctionIds>_xldudf_OPENFERRIC_VAR</we:customFunctionIds>
        <we:customFunctionIds>_xldudf_OPENFERRIC_SABR_VOL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8D4"/>
  </sheetPr>
  <dimension ref="A1:H35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" customWidth="1"/>
    <col min="4" max="4" width="18" customWidth="1"/>
    <col min="5" max="5" width="40" customWidth="1"/>
    <col min="6" max="6" width="30" customWidth="1"/>
    <col min="7" max="8" width="14" customWidth="1"/>
  </cols>
  <sheetData>
    <row r="1" spans="1:8" ht="28" customHeight="1" x14ac:dyDescent="0.2">
      <c r="A1" s="18" t="s">
        <v>0</v>
      </c>
      <c r="B1" s="17"/>
      <c r="C1" s="17"/>
      <c r="D1" s="17"/>
      <c r="E1" s="17"/>
      <c r="F1" s="17"/>
      <c r="G1" s="17"/>
      <c r="H1" s="17"/>
    </row>
    <row r="3" spans="1:8" ht="22" customHeight="1" x14ac:dyDescent="0.2">
      <c r="A3" s="16" t="s">
        <v>1</v>
      </c>
      <c r="B3" s="17"/>
      <c r="C3" s="17"/>
      <c r="D3" s="17"/>
      <c r="E3" s="17"/>
      <c r="F3" s="17"/>
      <c r="G3" s="17"/>
      <c r="H3" s="17"/>
    </row>
    <row r="4" spans="1:8" x14ac:dyDescent="0.2">
      <c r="A4" s="1" t="s">
        <v>2</v>
      </c>
      <c r="B4">
        <v>100</v>
      </c>
    </row>
    <row r="5" spans="1:8" x14ac:dyDescent="0.2">
      <c r="A5" s="1" t="s">
        <v>3</v>
      </c>
      <c r="B5">
        <v>100</v>
      </c>
    </row>
    <row r="6" spans="1:8" x14ac:dyDescent="0.2">
      <c r="A6" s="1" t="s">
        <v>4</v>
      </c>
      <c r="B6" s="2">
        <v>0.05</v>
      </c>
    </row>
    <row r="7" spans="1:8" x14ac:dyDescent="0.2">
      <c r="A7" s="1" t="s">
        <v>5</v>
      </c>
      <c r="B7" s="2">
        <v>0</v>
      </c>
    </row>
    <row r="8" spans="1:8" x14ac:dyDescent="0.2">
      <c r="A8" s="1" t="s">
        <v>6</v>
      </c>
      <c r="B8" s="2">
        <v>0.2</v>
      </c>
    </row>
    <row r="9" spans="1:8" x14ac:dyDescent="0.2">
      <c r="A9" s="1" t="s">
        <v>7</v>
      </c>
      <c r="B9">
        <v>1</v>
      </c>
    </row>
    <row r="11" spans="1:8" ht="22" customHeight="1" x14ac:dyDescent="0.2">
      <c r="A11" s="16" t="s">
        <v>8</v>
      </c>
      <c r="B11" s="17"/>
      <c r="C11" s="17"/>
      <c r="D11" s="17"/>
      <c r="E11" s="17"/>
      <c r="F11" s="17"/>
      <c r="G11" s="17"/>
      <c r="H11" s="17"/>
    </row>
    <row r="12" spans="1:8" x14ac:dyDescent="0.2">
      <c r="A12" s="3" t="s">
        <v>9</v>
      </c>
      <c r="B12" s="3" t="s">
        <v>10</v>
      </c>
      <c r="D12" s="3" t="s">
        <v>11</v>
      </c>
    </row>
    <row r="13" spans="1:8" x14ac:dyDescent="0.2">
      <c r="A13" s="3" t="s">
        <v>12</v>
      </c>
      <c r="B13" s="4">
        <f>_xldudf_OPENFERRIC_BS_PRICE(B4,B5,B6,B7,B8,B9,TRUE)</f>
        <v>10.450575619322269</v>
      </c>
      <c r="D13" s="5">
        <f>_xldudf_OPENFERRIC_BS_PRICE(B4,B5,B6,B7,B8,B9,TRUE)</f>
        <v>10.450575619322269</v>
      </c>
      <c r="F13" s="6" t="s">
        <v>13</v>
      </c>
    </row>
    <row r="14" spans="1:8" x14ac:dyDescent="0.2">
      <c r="A14" s="3" t="s">
        <v>14</v>
      </c>
      <c r="B14" s="4">
        <f>_xldudf_OPENFERRIC_BS_PRICE(B4,B5,B6,B7,B8,B9,FALSE)</f>
        <v>5.5735180693936712</v>
      </c>
      <c r="D14" s="5">
        <f>_xldudf_OPENFERRIC_BS_PRICE(B4,B5,B6,B7,B8,B9,FALSE)</f>
        <v>5.5735180693936712</v>
      </c>
      <c r="F14" s="6" t="s">
        <v>15</v>
      </c>
    </row>
    <row r="16" spans="1:8" ht="22" customHeight="1" x14ac:dyDescent="0.2">
      <c r="A16" s="16" t="s">
        <v>16</v>
      </c>
      <c r="B16" s="17"/>
      <c r="C16" s="17"/>
      <c r="D16" s="17"/>
      <c r="E16" s="17"/>
      <c r="F16" s="17"/>
      <c r="G16" s="17"/>
      <c r="H16" s="17"/>
    </row>
    <row r="17" spans="1:8" x14ac:dyDescent="0.2">
      <c r="A17" s="3" t="s">
        <v>17</v>
      </c>
      <c r="B17" s="3" t="s">
        <v>10</v>
      </c>
      <c r="D17" s="3" t="s">
        <v>11</v>
      </c>
    </row>
    <row r="18" spans="1:8" x14ac:dyDescent="0.2">
      <c r="A18" s="3" t="s">
        <v>18</v>
      </c>
      <c r="B18" s="7" t="str">
        <f>_xldudf_OPENFERRIC_BS_GREEKS(B4,B5,B6,B7,B8,B9,TRUE)</f>
        <v>Δ=0.636831, Γ=0.018762, V=37.524035, Θ=-6.414028, ρ=53.232483, vanna=-0.281430, volga=9.850059</v>
      </c>
      <c r="D18" s="5" t="str">
        <f>_xldudf_OPENFERRIC_BS_GREEKS(B4,B5,B6,B7,B8,B9,TRUE)</f>
        <v>Δ=0.636831, Γ=0.018762, V=37.524035, Θ=-6.414028, ρ=53.232483, vanna=-0.281430, volga=9.850059</v>
      </c>
      <c r="F18" s="6" t="s">
        <v>19</v>
      </c>
    </row>
    <row r="19" spans="1:8" x14ac:dyDescent="0.2">
      <c r="A19" s="3" t="s">
        <v>20</v>
      </c>
      <c r="B19" s="7" t="str">
        <f>_xldudf_OPENFERRIC_BS_GREEKS(B4,B5,B6,B7,B8,B9,FALSE)</f>
        <v>Δ=-0.363169, Γ=0.018762, V=37.524035, Θ=-1.657881, ρ=-41.890459, vanna=-0.281430, volga=9.850059</v>
      </c>
      <c r="D19" s="5" t="str">
        <f>_xldudf_OPENFERRIC_BS_GREEKS(B4,B5,B6,B7,B8,B9,FALSE)</f>
        <v>Δ=-0.363169, Γ=0.018762, V=37.524035, Θ=-1.657881, ρ=-41.890459, vanna=-0.281430, volga=9.850059</v>
      </c>
    </row>
    <row r="21" spans="1:8" ht="22" customHeight="1" x14ac:dyDescent="0.2">
      <c r="A21" s="16" t="s">
        <v>21</v>
      </c>
      <c r="B21" s="17"/>
      <c r="C21" s="17"/>
      <c r="D21" s="17"/>
      <c r="E21" s="17"/>
      <c r="F21" s="17"/>
      <c r="G21" s="17"/>
      <c r="H21" s="17"/>
    </row>
    <row r="22" spans="1:8" x14ac:dyDescent="0.2">
      <c r="A22" s="1" t="s">
        <v>22</v>
      </c>
      <c r="B22">
        <v>10.45</v>
      </c>
    </row>
    <row r="23" spans="1:8" x14ac:dyDescent="0.2">
      <c r="A23" s="3" t="s">
        <v>23</v>
      </c>
      <c r="B23" s="8">
        <f>_xldudf_OPENFERRIC_BS_IMPLIED_VOL(B22,B4,B5,B6,B7,B9,TRUE)</f>
        <v>0.19998465988649902</v>
      </c>
      <c r="D23" s="5">
        <f>_xldudf_OPENFERRIC_BS_IMPLIED_VOL(B22,B4,B5,B6,B7,B9,TRUE)</f>
        <v>0.19998465988649902</v>
      </c>
      <c r="F23" s="6" t="s">
        <v>24</v>
      </c>
    </row>
    <row r="25" spans="1:8" ht="22" customHeight="1" x14ac:dyDescent="0.2">
      <c r="A25" s="16" t="s">
        <v>25</v>
      </c>
      <c r="B25" s="17"/>
      <c r="C25" s="17"/>
      <c r="D25" s="17"/>
      <c r="E25" s="17"/>
      <c r="F25" s="17"/>
      <c r="G25" s="17"/>
      <c r="H25" s="17"/>
    </row>
    <row r="26" spans="1:8" x14ac:dyDescent="0.2">
      <c r="A26" s="3" t="s">
        <v>26</v>
      </c>
      <c r="B26" s="3" t="s">
        <v>27</v>
      </c>
      <c r="C26" s="3"/>
      <c r="D26" s="3" t="s">
        <v>11</v>
      </c>
    </row>
    <row r="27" spans="1:8" x14ac:dyDescent="0.2">
      <c r="A27">
        <v>80</v>
      </c>
      <c r="B27" s="4">
        <f>_xldudf_OPENFERRIC_BS_PRICE(B4,A27,B6,B7,B8,B9,TRUE)</f>
        <v>24.588836759389778</v>
      </c>
      <c r="D27" s="5">
        <f>_xldudf_OPENFERRIC_BS_PRICE(B4,A27,B6,B7,B8,B9,TRUE)</f>
        <v>24.588836759389778</v>
      </c>
    </row>
    <row r="28" spans="1:8" x14ac:dyDescent="0.2">
      <c r="A28">
        <v>85</v>
      </c>
      <c r="B28" s="4">
        <f>_xldudf_OPENFERRIC_BS_PRICE(B4,A28,B6,B7,B8,B9,TRUE)</f>
        <v>20.469281626455057</v>
      </c>
      <c r="D28" s="5">
        <f>_xldudf_OPENFERRIC_BS_PRICE(B4,A28,B6,B7,B8,B9,TRUE)</f>
        <v>20.469281626455057</v>
      </c>
    </row>
    <row r="29" spans="1:8" x14ac:dyDescent="0.2">
      <c r="A29">
        <v>90</v>
      </c>
      <c r="B29" s="4">
        <f>_xldudf_OPENFERRIC_BS_PRICE(B4,A29,B6,B7,B8,B9,TRUE)</f>
        <v>16.699446478870531</v>
      </c>
      <c r="D29" s="5">
        <f>_xldudf_OPENFERRIC_BS_PRICE(B4,A29,B6,B7,B8,B9,TRUE)</f>
        <v>16.699446478870531</v>
      </c>
    </row>
    <row r="30" spans="1:8" x14ac:dyDescent="0.2">
      <c r="A30">
        <v>95</v>
      </c>
      <c r="B30" s="4">
        <f>_xldudf_OPENFERRIC_BS_PRICE(B4,A30,B6,B7,B8,B9,TRUE)</f>
        <v>13.346474264129622</v>
      </c>
      <c r="D30" s="5">
        <f>_xldudf_OPENFERRIC_BS_PRICE(B4,A30,B6,B7,B8,B9,TRUE)</f>
        <v>13.346474264129622</v>
      </c>
    </row>
    <row r="31" spans="1:8" x14ac:dyDescent="0.2">
      <c r="A31">
        <v>100</v>
      </c>
      <c r="B31" s="4">
        <f>_xldudf_OPENFERRIC_BS_PRICE(B4,A31,B6,B7,B8,B9,TRUE)</f>
        <v>10.450575619322269</v>
      </c>
      <c r="D31" s="5">
        <f>_xldudf_OPENFERRIC_BS_PRICE(B4,A31,B6,B7,B8,B9,TRUE)</f>
        <v>10.450575619322269</v>
      </c>
    </row>
    <row r="32" spans="1:8" x14ac:dyDescent="0.2">
      <c r="A32">
        <v>105</v>
      </c>
      <c r="B32" s="4">
        <f>_xldudf_OPENFERRIC_BS_PRICE(B4,A32,B6,B7,B8,B9,TRUE)</f>
        <v>8.0213639724273076</v>
      </c>
      <c r="D32" s="5">
        <f>_xldudf_OPENFERRIC_BS_PRICE(B4,A32,B6,B7,B8,B9,TRUE)</f>
        <v>8.0213639724273076</v>
      </c>
    </row>
    <row r="33" spans="1:4" x14ac:dyDescent="0.2">
      <c r="A33">
        <v>110</v>
      </c>
      <c r="B33" s="4">
        <f>_xldudf_OPENFERRIC_BS_PRICE(B4,A33,B6,B7,B8,B9,TRUE)</f>
        <v>6.0400774405617961</v>
      </c>
      <c r="D33" s="5">
        <f>_xldudf_OPENFERRIC_BS_PRICE(B4,A33,B6,B7,B8,B9,TRUE)</f>
        <v>6.0400774405617961</v>
      </c>
    </row>
    <row r="34" spans="1:4" x14ac:dyDescent="0.2">
      <c r="A34">
        <v>115</v>
      </c>
      <c r="B34" s="4">
        <f>_xldudf_OPENFERRIC_BS_PRICE(B4,A34,B6,B7,B8,B9,TRUE)</f>
        <v>4.4665887020535315</v>
      </c>
      <c r="D34" s="5">
        <f>_xldudf_OPENFERRIC_BS_PRICE(B4,A34,B6,B7,B8,B9,TRUE)</f>
        <v>4.4665887020535315</v>
      </c>
    </row>
    <row r="35" spans="1:4" x14ac:dyDescent="0.2">
      <c r="A35">
        <v>120</v>
      </c>
      <c r="B35" s="4">
        <f>_xldudf_OPENFERRIC_BS_PRICE(B4,A35,B6,B7,B8,B9,TRUE)</f>
        <v>3.2474818409509929</v>
      </c>
      <c r="D35" s="5">
        <f>_xldudf_OPENFERRIC_BS_PRICE(B4,A35,B6,B7,B8,B9,TRUE)</f>
        <v>3.2474818409509929</v>
      </c>
    </row>
  </sheetData>
  <mergeCells count="6">
    <mergeCell ref="A1:H1"/>
    <mergeCell ref="A3:H3"/>
    <mergeCell ref="A21:H21"/>
    <mergeCell ref="A25:H25"/>
    <mergeCell ref="A16:H16"/>
    <mergeCell ref="A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4560"/>
  </sheetPr>
  <dimension ref="A1:H33"/>
  <sheetViews>
    <sheetView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" customWidth="1"/>
    <col min="4" max="4" width="18" customWidth="1"/>
    <col min="5" max="5" width="55" customWidth="1"/>
    <col min="6" max="6" width="30" customWidth="1"/>
  </cols>
  <sheetData>
    <row r="1" spans="1:8" ht="28" customHeight="1" x14ac:dyDescent="0.2">
      <c r="A1" s="18" t="s">
        <v>28</v>
      </c>
      <c r="B1" s="17"/>
      <c r="C1" s="17"/>
      <c r="D1" s="17"/>
      <c r="E1" s="17"/>
      <c r="F1" s="17"/>
      <c r="G1" s="17"/>
      <c r="H1" s="17"/>
    </row>
    <row r="3" spans="1:8" ht="22" customHeight="1" x14ac:dyDescent="0.2">
      <c r="A3" s="16" t="s">
        <v>1</v>
      </c>
      <c r="B3" s="17"/>
      <c r="C3" s="17"/>
      <c r="D3" s="17"/>
      <c r="E3" s="17"/>
      <c r="F3" s="17"/>
      <c r="G3" s="17"/>
      <c r="H3" s="17"/>
    </row>
    <row r="4" spans="1:8" x14ac:dyDescent="0.2">
      <c r="A4" s="1" t="s">
        <v>2</v>
      </c>
      <c r="B4">
        <v>100</v>
      </c>
    </row>
    <row r="5" spans="1:8" x14ac:dyDescent="0.2">
      <c r="A5" s="1" t="s">
        <v>3</v>
      </c>
      <c r="B5">
        <v>100</v>
      </c>
    </row>
    <row r="6" spans="1:8" x14ac:dyDescent="0.2">
      <c r="A6" s="1" t="s">
        <v>4</v>
      </c>
      <c r="B6" s="2">
        <v>0.05</v>
      </c>
    </row>
    <row r="7" spans="1:8" x14ac:dyDescent="0.2">
      <c r="A7" s="1" t="s">
        <v>5</v>
      </c>
      <c r="B7" s="2">
        <v>0</v>
      </c>
    </row>
    <row r="8" spans="1:8" x14ac:dyDescent="0.2">
      <c r="A8" s="1" t="s">
        <v>7</v>
      </c>
      <c r="B8">
        <v>1</v>
      </c>
    </row>
    <row r="10" spans="1:8" ht="22" customHeight="1" x14ac:dyDescent="0.2">
      <c r="A10" s="16" t="s">
        <v>29</v>
      </c>
      <c r="B10" s="17"/>
      <c r="C10" s="17"/>
      <c r="D10" s="17"/>
      <c r="E10" s="17"/>
      <c r="F10" s="17"/>
      <c r="G10" s="17"/>
      <c r="H10" s="17"/>
    </row>
    <row r="11" spans="1:8" x14ac:dyDescent="0.2">
      <c r="A11" s="1" t="s">
        <v>30</v>
      </c>
      <c r="B11">
        <v>0.04</v>
      </c>
    </row>
    <row r="12" spans="1:8" x14ac:dyDescent="0.2">
      <c r="A12" s="1" t="s">
        <v>31</v>
      </c>
      <c r="B12">
        <v>1.5</v>
      </c>
    </row>
    <row r="13" spans="1:8" x14ac:dyDescent="0.2">
      <c r="A13" s="1" t="s">
        <v>32</v>
      </c>
      <c r="B13">
        <v>0.04</v>
      </c>
    </row>
    <row r="14" spans="1:8" x14ac:dyDescent="0.2">
      <c r="A14" s="1" t="s">
        <v>33</v>
      </c>
      <c r="B14">
        <v>0.3</v>
      </c>
    </row>
    <row r="15" spans="1:8" x14ac:dyDescent="0.2">
      <c r="A15" s="1" t="s">
        <v>34</v>
      </c>
      <c r="B15">
        <v>-0.7</v>
      </c>
    </row>
    <row r="17" spans="1:8" ht="22" customHeight="1" x14ac:dyDescent="0.2">
      <c r="A17" s="16" t="s">
        <v>35</v>
      </c>
      <c r="B17" s="17"/>
      <c r="C17" s="17"/>
      <c r="D17" s="17"/>
      <c r="E17" s="17"/>
      <c r="F17" s="17"/>
      <c r="G17" s="17"/>
      <c r="H17" s="17"/>
    </row>
    <row r="18" spans="1:8" x14ac:dyDescent="0.2">
      <c r="A18" s="3" t="s">
        <v>9</v>
      </c>
      <c r="B18" s="3" t="s">
        <v>10</v>
      </c>
      <c r="E18" s="3" t="s">
        <v>11</v>
      </c>
    </row>
    <row r="19" spans="1:8" x14ac:dyDescent="0.2">
      <c r="A19" s="3" t="s">
        <v>36</v>
      </c>
      <c r="B19" s="4">
        <f>_xldudf_OPENFERRIC_HESTON_PRICE(B4,B5,B6,B7,B11,B12,B13,B14,B15,B8,TRUE)</f>
        <v>10.361869020966106</v>
      </c>
      <c r="E19" s="5">
        <f>_xldudf_OPENFERRIC_HESTON_PRICE(B4,B5,B6,B7,B11,B12,B13,B14,B15,B8,TRUE)</f>
        <v>10.361869020966106</v>
      </c>
    </row>
    <row r="20" spans="1:8" x14ac:dyDescent="0.2">
      <c r="A20" s="3" t="s">
        <v>37</v>
      </c>
      <c r="B20" s="4">
        <f>_xldudf_OPENFERRIC_HESTON_PRICE(B4,B5,B6,B7,B11,B12,B13,B14,B15,B8,FALSE)</f>
        <v>5.4848114710375171</v>
      </c>
      <c r="E20" s="5">
        <f>_xldudf_OPENFERRIC_HESTON_PRICE(B4,B5,B6,B7,B11,B12,B13,B14,B15,B8,FALSE)</f>
        <v>5.4848114710375171</v>
      </c>
    </row>
    <row r="21" spans="1:8" x14ac:dyDescent="0.2">
      <c r="A21" s="3" t="s">
        <v>38</v>
      </c>
      <c r="B21" s="9">
        <f>_xldudf_OPENFERRIC_BS_PRICE(B4,B5,B6,B7,0.2,B8,TRUE)</f>
        <v>10.450575619322269</v>
      </c>
      <c r="E21" s="6" t="s">
        <v>39</v>
      </c>
    </row>
    <row r="23" spans="1:8" ht="22" customHeight="1" x14ac:dyDescent="0.2">
      <c r="A23" s="16" t="s">
        <v>40</v>
      </c>
      <c r="B23" s="17"/>
      <c r="C23" s="17"/>
      <c r="D23" s="17"/>
      <c r="E23" s="17"/>
      <c r="F23" s="17"/>
      <c r="G23" s="17"/>
      <c r="H23" s="17"/>
    </row>
    <row r="24" spans="1:8" x14ac:dyDescent="0.2">
      <c r="A24" s="3" t="s">
        <v>26</v>
      </c>
      <c r="B24" s="3" t="s">
        <v>36</v>
      </c>
      <c r="C24" s="3"/>
      <c r="D24" s="3" t="s">
        <v>41</v>
      </c>
      <c r="E24" s="3" t="s">
        <v>42</v>
      </c>
    </row>
    <row r="25" spans="1:8" x14ac:dyDescent="0.2">
      <c r="A25">
        <v>80</v>
      </c>
      <c r="B25" s="4">
        <f>_xldudf_OPENFERRIC_HESTON_PRICE(B4,A25,B6,B7,B11,B12,B13,B14,B15,B8,TRUE)</f>
        <v>25.09517801643505</v>
      </c>
      <c r="D25" s="9">
        <f>_xldudf_OPENFERRIC_BS_PRICE(B4,A25,B6,B7,0.2,B8,TRUE)</f>
        <v>24.588836759389778</v>
      </c>
      <c r="E25" s="5">
        <f>_xldudf_OPENFERRIC_HESTON_PRICE(B4,A25,B6,B7,B11,B12,B13,B14,B15,B8,TRUE)</f>
        <v>25.09517801643505</v>
      </c>
    </row>
    <row r="26" spans="1:8" x14ac:dyDescent="0.2">
      <c r="A26">
        <v>85</v>
      </c>
      <c r="B26" s="4">
        <f>_xldudf_OPENFERRIC_HESTON_PRICE(B4,A26,B6,B7,B11,B12,B13,B14,B15,B8,TRUE)</f>
        <v>20.976171178204122</v>
      </c>
      <c r="D26" s="9">
        <f>_xldudf_OPENFERRIC_BS_PRICE(B4,A26,B6,B7,0.2,B8,TRUE)</f>
        <v>20.469281626455057</v>
      </c>
      <c r="E26" s="5">
        <f>_xldudf_OPENFERRIC_HESTON_PRICE(B4,A26,B6,B7,B11,B12,B13,B14,B15,B8,TRUE)</f>
        <v>20.976171178204122</v>
      </c>
    </row>
    <row r="27" spans="1:8" x14ac:dyDescent="0.2">
      <c r="A27">
        <v>90</v>
      </c>
      <c r="B27" s="4">
        <f>_xldudf_OPENFERRIC_HESTON_PRICE(B4,A27,B6,B7,B11,B12,B13,B14,B15,B8,TRUE)</f>
        <v>17.106936861122854</v>
      </c>
      <c r="D27" s="9">
        <f>_xldudf_OPENFERRIC_BS_PRICE(B4,A27,B6,B7,0.2,B8,TRUE)</f>
        <v>16.699446478870531</v>
      </c>
      <c r="E27" s="5">
        <f>_xldudf_OPENFERRIC_HESTON_PRICE(B4,A27,B6,B7,B11,B12,B13,B14,B15,B8,TRUE)</f>
        <v>17.106936861122854</v>
      </c>
    </row>
    <row r="28" spans="1:8" x14ac:dyDescent="0.2">
      <c r="A28">
        <v>95</v>
      </c>
      <c r="B28" s="4">
        <f>_xldudf_OPENFERRIC_HESTON_PRICE(B4,A28,B6,B7,B11,B12,B13,B14,B15,B8,TRUE)</f>
        <v>13.548229845935802</v>
      </c>
      <c r="D28" s="9">
        <f>_xldudf_OPENFERRIC_BS_PRICE(B4,A28,B6,B7,0.2,B8,TRUE)</f>
        <v>13.346474264129622</v>
      </c>
      <c r="E28" s="5">
        <f>_xldudf_OPENFERRIC_HESTON_PRICE(B4,A28,B6,B7,B11,B12,B13,B14,B15,B8,TRUE)</f>
        <v>13.548229845935802</v>
      </c>
    </row>
    <row r="29" spans="1:8" x14ac:dyDescent="0.2">
      <c r="A29">
        <v>100</v>
      </c>
      <c r="B29" s="4">
        <f>_xldudf_OPENFERRIC_HESTON_PRICE(B4,A29,B6,B7,B11,B12,B13,B14,B15,B8,TRUE)</f>
        <v>10.361869020966106</v>
      </c>
      <c r="D29" s="9">
        <f>_xldudf_OPENFERRIC_BS_PRICE(B4,A29,B6,B7,0.2,B8,TRUE)</f>
        <v>10.450575619322269</v>
      </c>
      <c r="E29" s="5">
        <f>_xldudf_OPENFERRIC_HESTON_PRICE(B4,A29,B6,B7,B11,B12,B13,B14,B15,B8,TRUE)</f>
        <v>10.361869020966106</v>
      </c>
    </row>
    <row r="30" spans="1:8" x14ac:dyDescent="0.2">
      <c r="A30">
        <v>105</v>
      </c>
      <c r="B30" s="4">
        <f>_xldudf_OPENFERRIC_HESTON_PRICE(B4,A30,B6,B7,B11,B12,B13,B14,B15,B8,TRUE)</f>
        <v>7.6043621337107465</v>
      </c>
      <c r="D30" s="9">
        <f>_xldudf_OPENFERRIC_BS_PRICE(B4,A30,B6,B7,0.2,B8,TRUE)</f>
        <v>8.0213639724273076</v>
      </c>
      <c r="E30" s="5">
        <f>_xldudf_OPENFERRIC_HESTON_PRICE(B4,A30,B6,B7,B11,B12,B13,B14,B15,B8,TRUE)</f>
        <v>7.6043621337107465</v>
      </c>
    </row>
    <row r="31" spans="1:8" x14ac:dyDescent="0.2">
      <c r="A31">
        <v>110</v>
      </c>
      <c r="B31" s="4">
        <f>_xldudf_OPENFERRIC_HESTON_PRICE(B4,A31,B6,B7,B11,B12,B13,B14,B15,B8,TRUE)</f>
        <v>5.3179531128760171</v>
      </c>
      <c r="D31" s="9">
        <f>_xldudf_OPENFERRIC_BS_PRICE(B4,A31,B6,B7,0.2,B8,TRUE)</f>
        <v>6.0400774405617961</v>
      </c>
      <c r="E31" s="5">
        <f>_xldudf_OPENFERRIC_HESTON_PRICE(B4,A31,B6,B7,B11,B12,B13,B14,B15,B8,TRUE)</f>
        <v>5.3179531128760171</v>
      </c>
    </row>
    <row r="32" spans="1:8" x14ac:dyDescent="0.2">
      <c r="A32">
        <v>115</v>
      </c>
      <c r="B32" s="4">
        <f>_xldudf_OPENFERRIC_HESTON_PRICE(B4,A32,B6,B7,B11,B12,B13,B14,B15,B8,TRUE)</f>
        <v>3.5199529187617173</v>
      </c>
      <c r="D32" s="9">
        <f>_xldudf_OPENFERRIC_BS_PRICE(B4,A32,B6,B7,0.2,B8,TRUE)</f>
        <v>4.4665887020535315</v>
      </c>
      <c r="E32" s="5">
        <f>_xldudf_OPENFERRIC_HESTON_PRICE(B4,A32,B6,B7,B11,B12,B13,B14,B15,B8,TRUE)</f>
        <v>3.5199529187617173</v>
      </c>
    </row>
    <row r="33" spans="1:5" x14ac:dyDescent="0.2">
      <c r="A33">
        <v>120</v>
      </c>
      <c r="B33" s="4">
        <f>_xldudf_OPENFERRIC_HESTON_PRICE(B4,A33,B6,B7,B11,B12,B13,B14,B15,B8,TRUE)</f>
        <v>2.1933099409830632</v>
      </c>
      <c r="D33" s="9">
        <f>_xldudf_OPENFERRIC_BS_PRICE(B4,A33,B6,B7,0.2,B8,TRUE)</f>
        <v>3.2474818409509929</v>
      </c>
      <c r="E33" s="5">
        <f>_xldudf_OPENFERRIC_HESTON_PRICE(B4,A33,B6,B7,B11,B12,B13,B14,B15,B8,TRUE)</f>
        <v>2.1933099409830632</v>
      </c>
    </row>
  </sheetData>
  <mergeCells count="5">
    <mergeCell ref="A3:H3"/>
    <mergeCell ref="A10:H10"/>
    <mergeCell ref="A1:H1"/>
    <mergeCell ref="A23:H23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C79A"/>
  </sheetPr>
  <dimension ref="A1:H30"/>
  <sheetViews>
    <sheetView workbookViewId="0">
      <selection activeCell="A31" sqref="A31"/>
    </sheetView>
  </sheetViews>
  <sheetFormatPr baseColWidth="10" defaultColWidth="8.83203125" defaultRowHeight="15" x14ac:dyDescent="0.2"/>
  <cols>
    <col min="1" max="1" width="18" customWidth="1"/>
    <col min="2" max="4" width="14" customWidth="1"/>
    <col min="5" max="5" width="60" customWidth="1"/>
    <col min="6" max="6" width="30" customWidth="1"/>
  </cols>
  <sheetData>
    <row r="1" spans="1:8" ht="28" customHeight="1" x14ac:dyDescent="0.2">
      <c r="A1" s="18" t="s">
        <v>43</v>
      </c>
      <c r="B1" s="17"/>
      <c r="C1" s="17"/>
      <c r="D1" s="17"/>
      <c r="E1" s="17"/>
      <c r="F1" s="17"/>
      <c r="G1" s="17"/>
      <c r="H1" s="17"/>
    </row>
    <row r="3" spans="1:8" ht="22" customHeight="1" x14ac:dyDescent="0.2">
      <c r="A3" s="16" t="s">
        <v>1</v>
      </c>
      <c r="B3" s="17"/>
      <c r="C3" s="17"/>
      <c r="D3" s="17"/>
      <c r="E3" s="17"/>
      <c r="F3" s="17"/>
      <c r="G3" s="17"/>
      <c r="H3" s="17"/>
    </row>
    <row r="4" spans="1:8" x14ac:dyDescent="0.2">
      <c r="A4" s="1" t="s">
        <v>2</v>
      </c>
      <c r="B4">
        <v>100</v>
      </c>
    </row>
    <row r="5" spans="1:8" x14ac:dyDescent="0.2">
      <c r="A5" s="1" t="s">
        <v>3</v>
      </c>
      <c r="B5">
        <v>100</v>
      </c>
    </row>
    <row r="6" spans="1:8" x14ac:dyDescent="0.2">
      <c r="A6" s="1" t="s">
        <v>4</v>
      </c>
      <c r="B6" s="2">
        <v>0.05</v>
      </c>
    </row>
    <row r="7" spans="1:8" x14ac:dyDescent="0.2">
      <c r="A7" s="1" t="s">
        <v>5</v>
      </c>
      <c r="B7" s="2">
        <v>0</v>
      </c>
    </row>
    <row r="8" spans="1:8" x14ac:dyDescent="0.2">
      <c r="A8" s="1" t="s">
        <v>6</v>
      </c>
      <c r="B8" s="2">
        <v>0.2</v>
      </c>
    </row>
    <row r="9" spans="1:8" x14ac:dyDescent="0.2">
      <c r="A9" s="1" t="s">
        <v>7</v>
      </c>
      <c r="B9">
        <v>1</v>
      </c>
    </row>
    <row r="11" spans="1:8" ht="22" customHeight="1" x14ac:dyDescent="0.2">
      <c r="A11" s="16" t="s">
        <v>44</v>
      </c>
      <c r="B11" s="17"/>
      <c r="C11" s="17"/>
      <c r="D11" s="17"/>
      <c r="E11" s="17"/>
      <c r="F11" s="17"/>
      <c r="G11" s="17"/>
      <c r="H11" s="17"/>
    </row>
    <row r="12" spans="1:8" x14ac:dyDescent="0.2">
      <c r="A12" s="1" t="s">
        <v>45</v>
      </c>
      <c r="B12">
        <v>120</v>
      </c>
    </row>
    <row r="13" spans="1:8" x14ac:dyDescent="0.2">
      <c r="A13" s="1" t="s">
        <v>46</v>
      </c>
      <c r="B13">
        <v>80</v>
      </c>
    </row>
    <row r="15" spans="1:8" ht="22" customHeight="1" x14ac:dyDescent="0.2">
      <c r="A15" s="16" t="s">
        <v>47</v>
      </c>
      <c r="B15" s="17"/>
      <c r="C15" s="17"/>
      <c r="D15" s="17"/>
      <c r="E15" s="17"/>
      <c r="F15" s="17"/>
      <c r="G15" s="17"/>
      <c r="H15" s="17"/>
    </row>
    <row r="16" spans="1:8" x14ac:dyDescent="0.2">
      <c r="A16" s="3" t="s">
        <v>48</v>
      </c>
      <c r="B16" s="3" t="s">
        <v>27</v>
      </c>
      <c r="E16" s="3" t="s">
        <v>11</v>
      </c>
    </row>
    <row r="17" spans="1:8" x14ac:dyDescent="0.2">
      <c r="A17" s="3" t="s">
        <v>49</v>
      </c>
      <c r="B17" s="4">
        <f>_xldudf_OPENFERRIC_BARRIER_PRICE(B4,B5,B12,B6,B7,B8,B9,"up-out",TRUE)</f>
        <v>1.1760442272152405</v>
      </c>
      <c r="E17" s="5">
        <f>_xldudf_OPENFERRIC_BARRIER_PRICE(B4,B5,B12,B6,B7,B8,B9,"up-out",TRUE)</f>
        <v>1.1760442272152405</v>
      </c>
    </row>
    <row r="18" spans="1:8" x14ac:dyDescent="0.2">
      <c r="A18" s="3" t="s">
        <v>50</v>
      </c>
      <c r="B18" s="4">
        <f>_xldudf_OPENFERRIC_BARRIER_PRICE(B4,B5,B12,B6,B7,B8,B9,"up-in",TRUE)</f>
        <v>9.2745313921070256</v>
      </c>
      <c r="E18" s="5">
        <f>_xldudf_OPENFERRIC_BARRIER_PRICE(B4,B5,B12,B6,B7,B8,B9,"up-in",TRUE)</f>
        <v>9.2745313921070256</v>
      </c>
    </row>
    <row r="19" spans="1:8" x14ac:dyDescent="0.2">
      <c r="A19" s="3" t="s">
        <v>51</v>
      </c>
      <c r="B19" s="4">
        <f>_xldudf_OPENFERRIC_BARRIER_PRICE(B4,B5,B13,B6,B7,B8,B9,"down-out",TRUE)</f>
        <v>10.35133580836156</v>
      </c>
      <c r="E19" s="5">
        <f>_xldudf_OPENFERRIC_BARRIER_PRICE(B4,B5,B13,B6,B7,B8,B9,"down-out",TRUE)</f>
        <v>10.35133580836156</v>
      </c>
    </row>
    <row r="20" spans="1:8" x14ac:dyDescent="0.2">
      <c r="A20" s="3" t="s">
        <v>52</v>
      </c>
      <c r="B20" s="4">
        <f>_xldudf_OPENFERRIC_BARRIER_PRICE(B4,B5,B13,B6,B7,B8,B9,"down-in",TRUE)</f>
        <v>9.9239810960705332E-2</v>
      </c>
      <c r="E20" s="5">
        <f>_xldudf_OPENFERRIC_BARRIER_PRICE(B4,B5,B13,B6,B7,B8,B9,"down-in",TRUE)</f>
        <v>9.9239810960705332E-2</v>
      </c>
    </row>
    <row r="22" spans="1:8" ht="22" customHeight="1" x14ac:dyDescent="0.2">
      <c r="A22" s="16" t="s">
        <v>53</v>
      </c>
      <c r="B22" s="17"/>
      <c r="C22" s="17"/>
      <c r="D22" s="17"/>
      <c r="E22" s="17"/>
      <c r="F22" s="17"/>
      <c r="G22" s="17"/>
      <c r="H22" s="17"/>
    </row>
    <row r="23" spans="1:8" x14ac:dyDescent="0.2">
      <c r="A23" s="3" t="s">
        <v>48</v>
      </c>
      <c r="B23" s="3" t="s">
        <v>27</v>
      </c>
      <c r="E23" s="3" t="s">
        <v>11</v>
      </c>
    </row>
    <row r="24" spans="1:8" x14ac:dyDescent="0.2">
      <c r="A24" s="3" t="s">
        <v>54</v>
      </c>
      <c r="B24" s="4">
        <f>_xldudf_OPENFERRIC_BARRIER_PRICE(B4,B5,B12,B6,B7,B8,B9,"up-out",FALSE)</f>
        <v>5.3601186333099209</v>
      </c>
      <c r="E24" s="5">
        <f>_xldudf_OPENFERRIC_BARRIER_PRICE(B4,B5,B12,B6,B7,B8,B9,"up-out",FALSE)</f>
        <v>5.3601186333099209</v>
      </c>
    </row>
    <row r="25" spans="1:8" x14ac:dyDescent="0.2">
      <c r="A25" s="3" t="s">
        <v>55</v>
      </c>
      <c r="B25" s="4">
        <f>_xldudf_OPENFERRIC_BARRIER_PRICE(B4,B5,B12,B6,B7,B8,B9,"up-in",FALSE)</f>
        <v>0.21339943608375034</v>
      </c>
      <c r="E25" s="5">
        <f>_xldudf_OPENFERRIC_BARRIER_PRICE(B4,B5,B12,B6,B7,B8,B9,"up-in",FALSE)</f>
        <v>0.21339943608375034</v>
      </c>
    </row>
    <row r="26" spans="1:8" x14ac:dyDescent="0.2">
      <c r="A26" s="3" t="s">
        <v>56</v>
      </c>
      <c r="B26" s="4">
        <f>_xldudf_OPENFERRIC_BARRIER_PRICE(B4,B5,B13,B6,B7,B8,B9,"down-out",FALSE)</f>
        <v>1.6210008389047319</v>
      </c>
      <c r="E26" s="5">
        <f>_xldudf_OPENFERRIC_BARRIER_PRICE(B4,B5,B13,B6,B7,B8,B9,"down-out",FALSE)</f>
        <v>1.6210008389047319</v>
      </c>
    </row>
    <row r="27" spans="1:8" x14ac:dyDescent="0.2">
      <c r="A27" s="3" t="s">
        <v>57</v>
      </c>
      <c r="B27" s="4">
        <f>_xldudf_OPENFERRIC_BARRIER_PRICE(B4,B5,B13,B6,B7,B8,B9,"down-in",FALSE)</f>
        <v>3.9525172304889393</v>
      </c>
      <c r="E27" s="5">
        <f>_xldudf_OPENFERRIC_BARRIER_PRICE(B4,B5,B13,B6,B7,B8,B9,"down-in",FALSE)</f>
        <v>3.9525172304889393</v>
      </c>
    </row>
    <row r="29" spans="1:8" ht="22" customHeight="1" x14ac:dyDescent="0.2">
      <c r="A29" s="16" t="s">
        <v>58</v>
      </c>
      <c r="B29" s="17"/>
      <c r="C29" s="17"/>
      <c r="D29" s="17"/>
      <c r="E29" s="17"/>
      <c r="F29" s="17"/>
      <c r="G29" s="17"/>
      <c r="H29" s="17"/>
    </row>
    <row r="30" spans="1:8" x14ac:dyDescent="0.2">
      <c r="A30" s="3" t="s">
        <v>59</v>
      </c>
      <c r="B30" s="4">
        <f>B17+B18</f>
        <v>10.450575619322265</v>
      </c>
      <c r="C30" s="6" t="s">
        <v>60</v>
      </c>
      <c r="D30" s="4">
        <f>_xldudf_OPENFERRIC_BS_PRICE(B4,B5,B6,B7,B8,B9,TRUE)</f>
        <v>10.450575619322269</v>
      </c>
    </row>
  </sheetData>
  <mergeCells count="6">
    <mergeCell ref="A3:H3"/>
    <mergeCell ref="A15:H15"/>
    <mergeCell ref="A29:H29"/>
    <mergeCell ref="A11:H11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A500"/>
  </sheetPr>
  <dimension ref="A1:H34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" customWidth="1"/>
    <col min="4" max="4" width="18" customWidth="1"/>
    <col min="5" max="5" width="55" customWidth="1"/>
    <col min="6" max="6" width="30" customWidth="1"/>
  </cols>
  <sheetData>
    <row r="1" spans="1:8" ht="28" customHeight="1" x14ac:dyDescent="0.2">
      <c r="A1" s="18" t="s">
        <v>61</v>
      </c>
      <c r="B1" s="17"/>
      <c r="C1" s="17"/>
      <c r="D1" s="17"/>
      <c r="E1" s="17"/>
      <c r="F1" s="17"/>
      <c r="G1" s="17"/>
      <c r="H1" s="17"/>
    </row>
    <row r="3" spans="1:8" ht="22" customHeight="1" x14ac:dyDescent="0.2">
      <c r="A3" s="16" t="s">
        <v>62</v>
      </c>
      <c r="B3" s="17"/>
      <c r="C3" s="17"/>
      <c r="D3" s="17"/>
      <c r="E3" s="17"/>
      <c r="F3" s="17"/>
      <c r="G3" s="17"/>
      <c r="H3" s="17"/>
    </row>
    <row r="4" spans="1:8" x14ac:dyDescent="0.2">
      <c r="A4" s="1" t="s">
        <v>63</v>
      </c>
      <c r="B4">
        <v>1000</v>
      </c>
    </row>
    <row r="5" spans="1:8" x14ac:dyDescent="0.2">
      <c r="A5" s="1" t="s">
        <v>64</v>
      </c>
      <c r="B5" s="2">
        <v>0.05</v>
      </c>
    </row>
    <row r="6" spans="1:8" x14ac:dyDescent="0.2">
      <c r="A6" s="1" t="s">
        <v>65</v>
      </c>
      <c r="B6">
        <v>10</v>
      </c>
    </row>
    <row r="7" spans="1:8" x14ac:dyDescent="0.2">
      <c r="A7" s="1" t="s">
        <v>66</v>
      </c>
      <c r="B7" s="2">
        <v>0.04</v>
      </c>
    </row>
    <row r="8" spans="1:8" x14ac:dyDescent="0.2">
      <c r="A8" s="1" t="s">
        <v>67</v>
      </c>
      <c r="B8">
        <v>2</v>
      </c>
    </row>
    <row r="10" spans="1:8" ht="22" customHeight="1" x14ac:dyDescent="0.2">
      <c r="A10" s="16" t="s">
        <v>68</v>
      </c>
      <c r="B10" s="17"/>
      <c r="C10" s="17"/>
      <c r="D10" s="17"/>
      <c r="E10" s="17"/>
      <c r="F10" s="17"/>
      <c r="G10" s="17"/>
      <c r="H10" s="17"/>
    </row>
    <row r="11" spans="1:8" x14ac:dyDescent="0.2">
      <c r="A11" s="3" t="s">
        <v>69</v>
      </c>
      <c r="B11" s="3" t="s">
        <v>10</v>
      </c>
      <c r="E11" s="3" t="s">
        <v>11</v>
      </c>
    </row>
    <row r="12" spans="1:8" x14ac:dyDescent="0.2">
      <c r="A12" s="3" t="s">
        <v>70</v>
      </c>
      <c r="B12" s="10">
        <f>_xldudf_OPENFERRIC_BOND_PRICE(B4,B5,B6,B7,B8)</f>
        <v>1081.7571667229859</v>
      </c>
      <c r="E12" s="5">
        <f>_xldudf_OPENFERRIC_BOND_PRICE(B4,B5,B6,B7,B8)</f>
        <v>1081.7571667229859</v>
      </c>
      <c r="F12" s="6" t="s">
        <v>71</v>
      </c>
    </row>
    <row r="14" spans="1:8" ht="22" customHeight="1" x14ac:dyDescent="0.2">
      <c r="A14" s="16" t="s">
        <v>72</v>
      </c>
      <c r="B14" s="17"/>
      <c r="C14" s="17"/>
      <c r="D14" s="17"/>
      <c r="E14" s="17"/>
      <c r="F14" s="17"/>
      <c r="G14" s="17"/>
      <c r="H14" s="17"/>
    </row>
    <row r="15" spans="1:8" x14ac:dyDescent="0.2">
      <c r="A15" s="3" t="s">
        <v>66</v>
      </c>
      <c r="B15" s="3" t="s">
        <v>70</v>
      </c>
    </row>
    <row r="16" spans="1:8" x14ac:dyDescent="0.2">
      <c r="A16" s="2">
        <v>0.01</v>
      </c>
      <c r="B16" s="10">
        <f>_xldudf_OPENFERRIC_BOND_PRICE(B4,B5,B6,A16,B8)</f>
        <v>1379.7483829334005</v>
      </c>
    </row>
    <row r="17" spans="1:8" x14ac:dyDescent="0.2">
      <c r="A17" s="2">
        <v>0.02</v>
      </c>
      <c r="B17" s="10">
        <f>_xldudf_OPENFERRIC_BOND_PRICE(B4,B5,B6,A17,B8)</f>
        <v>1270.6832944940566</v>
      </c>
    </row>
    <row r="18" spans="1:8" x14ac:dyDescent="0.2">
      <c r="A18" s="2">
        <v>0.03</v>
      </c>
      <c r="B18" s="10">
        <f>_xldudf_OPENFERRIC_BOND_PRICE(B4,B5,B6,A18,B8)</f>
        <v>1171.686387850822</v>
      </c>
    </row>
    <row r="19" spans="1:8" x14ac:dyDescent="0.2">
      <c r="A19" s="2">
        <v>0.04</v>
      </c>
      <c r="B19" s="10">
        <f>_xldudf_OPENFERRIC_BOND_PRICE(B4,B5,B6,A19,B8)</f>
        <v>1081.7571667229859</v>
      </c>
    </row>
    <row r="20" spans="1:8" x14ac:dyDescent="0.2">
      <c r="A20" s="2">
        <v>0.05</v>
      </c>
      <c r="B20" s="10">
        <f>_xldudf_OPENFERRIC_BOND_PRICE(B4,B5,B6,A20,B8)</f>
        <v>1000.0000000000007</v>
      </c>
    </row>
    <row r="21" spans="1:8" x14ac:dyDescent="0.2">
      <c r="A21" s="2">
        <v>0.06</v>
      </c>
      <c r="B21" s="10">
        <f>_xldudf_OPENFERRIC_BOND_PRICE(B4,B5,B6,A21,B8)</f>
        <v>925.61262569772271</v>
      </c>
    </row>
    <row r="22" spans="1:8" x14ac:dyDescent="0.2">
      <c r="A22" s="2">
        <v>7.0000000000000007E-2</v>
      </c>
      <c r="B22" s="10">
        <f>_xldudf_OPENFERRIC_BOND_PRICE(B4,B5,B6,A22,B8)</f>
        <v>857.8759669804781</v>
      </c>
    </row>
    <row r="23" spans="1:8" x14ac:dyDescent="0.2">
      <c r="A23" s="2">
        <v>0.08</v>
      </c>
      <c r="B23" s="10">
        <f>_xldudf_OPENFERRIC_BOND_PRICE(B4,B5,B6,A23,B8)</f>
        <v>796.14510482548417</v>
      </c>
    </row>
    <row r="25" spans="1:8" ht="22" customHeight="1" x14ac:dyDescent="0.2">
      <c r="A25" s="19" t="s">
        <v>73</v>
      </c>
      <c r="B25" s="17"/>
      <c r="C25" s="17"/>
      <c r="D25" s="17"/>
      <c r="E25" s="17"/>
      <c r="F25" s="17"/>
      <c r="G25" s="17"/>
      <c r="H25" s="17"/>
    </row>
    <row r="26" spans="1:8" x14ac:dyDescent="0.2">
      <c r="A26" s="1" t="s">
        <v>74</v>
      </c>
      <c r="B26">
        <v>10000000</v>
      </c>
    </row>
    <row r="27" spans="1:8" x14ac:dyDescent="0.2">
      <c r="A27" s="1" t="s">
        <v>65</v>
      </c>
      <c r="B27">
        <v>5</v>
      </c>
    </row>
    <row r="28" spans="1:8" x14ac:dyDescent="0.2">
      <c r="A28" s="1" t="s">
        <v>75</v>
      </c>
      <c r="B28" s="2">
        <v>0.4</v>
      </c>
    </row>
    <row r="29" spans="1:8" x14ac:dyDescent="0.2">
      <c r="A29" s="1" t="s">
        <v>76</v>
      </c>
      <c r="B29">
        <v>0.02</v>
      </c>
    </row>
    <row r="30" spans="1:8" x14ac:dyDescent="0.2">
      <c r="A30" s="1" t="s">
        <v>77</v>
      </c>
      <c r="B30" s="2">
        <v>0.05</v>
      </c>
    </row>
    <row r="32" spans="1:8" ht="22" customHeight="1" x14ac:dyDescent="0.2">
      <c r="A32" s="19" t="s">
        <v>78</v>
      </c>
      <c r="B32" s="17"/>
      <c r="C32" s="17"/>
      <c r="D32" s="17"/>
      <c r="E32" s="17"/>
      <c r="F32" s="17"/>
      <c r="G32" s="17"/>
      <c r="H32" s="17"/>
    </row>
    <row r="33" spans="1:6" x14ac:dyDescent="0.2">
      <c r="A33" s="3" t="s">
        <v>79</v>
      </c>
      <c r="B33" s="11">
        <f>_xldudf_OPENFERRIC_CDS_SPREAD(B26,B27,B28,B29,B30)</f>
        <v>1.2075020444737726E-2</v>
      </c>
      <c r="E33" s="5">
        <f>_xldudf_OPENFERRIC_CDS_SPREAD(B26,B27,B28,B29,B30)</f>
        <v>1.2075020444737726E-2</v>
      </c>
      <c r="F33" s="6" t="s">
        <v>80</v>
      </c>
    </row>
    <row r="34" spans="1:6" x14ac:dyDescent="0.2">
      <c r="A34" s="3" t="s">
        <v>81</v>
      </c>
      <c r="B34" s="12">
        <f>B33*10000</f>
        <v>120.75020444737726</v>
      </c>
    </row>
  </sheetData>
  <mergeCells count="6">
    <mergeCell ref="A32:H32"/>
    <mergeCell ref="A3:H3"/>
    <mergeCell ref="A25:H25"/>
    <mergeCell ref="A10:H10"/>
    <mergeCell ref="A14:H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59B6"/>
  </sheetPr>
  <dimension ref="A1:H25"/>
  <sheetViews>
    <sheetView workbookViewId="0">
      <selection activeCell="A25" sqref="A25"/>
    </sheetView>
  </sheetViews>
  <sheetFormatPr baseColWidth="10" defaultColWidth="8.83203125" defaultRowHeight="15" x14ac:dyDescent="0.2"/>
  <cols>
    <col min="1" max="1" width="18" customWidth="1"/>
    <col min="2" max="3" width="14" customWidth="1"/>
    <col min="4" max="4" width="4" customWidth="1"/>
    <col min="5" max="5" width="55" customWidth="1"/>
  </cols>
  <sheetData>
    <row r="1" spans="1:8" ht="28" customHeight="1" x14ac:dyDescent="0.2">
      <c r="A1" s="18" t="s">
        <v>82</v>
      </c>
      <c r="B1" s="17"/>
      <c r="C1" s="17"/>
      <c r="D1" s="17"/>
      <c r="E1" s="17"/>
      <c r="F1" s="17"/>
      <c r="G1" s="17"/>
      <c r="H1" s="17"/>
    </row>
    <row r="3" spans="1:8" ht="22" customHeight="1" x14ac:dyDescent="0.2">
      <c r="A3" s="16" t="s">
        <v>83</v>
      </c>
      <c r="B3" s="17"/>
      <c r="C3" s="17"/>
      <c r="D3" s="17"/>
      <c r="E3" s="17"/>
      <c r="F3" s="17"/>
      <c r="G3" s="17"/>
      <c r="H3" s="17"/>
    </row>
    <row r="4" spans="1:8" x14ac:dyDescent="0.2">
      <c r="A4" s="1" t="s">
        <v>84</v>
      </c>
      <c r="B4">
        <v>100</v>
      </c>
    </row>
    <row r="5" spans="1:8" x14ac:dyDescent="0.2">
      <c r="A5" s="1" t="s">
        <v>7</v>
      </c>
      <c r="B5">
        <v>1</v>
      </c>
    </row>
    <row r="6" spans="1:8" x14ac:dyDescent="0.2">
      <c r="A6" s="1" t="s">
        <v>85</v>
      </c>
      <c r="B6">
        <v>0.2</v>
      </c>
    </row>
    <row r="7" spans="1:8" x14ac:dyDescent="0.2">
      <c r="A7" s="1" t="s">
        <v>86</v>
      </c>
      <c r="B7">
        <v>0.5</v>
      </c>
    </row>
    <row r="8" spans="1:8" x14ac:dyDescent="0.2">
      <c r="A8" s="1" t="s">
        <v>87</v>
      </c>
      <c r="B8">
        <v>-0.3</v>
      </c>
    </row>
    <row r="9" spans="1:8" x14ac:dyDescent="0.2">
      <c r="A9" s="1" t="s">
        <v>88</v>
      </c>
      <c r="B9">
        <v>0.4</v>
      </c>
    </row>
    <row r="11" spans="1:8" ht="22" customHeight="1" x14ac:dyDescent="0.2">
      <c r="A11" s="16" t="s">
        <v>89</v>
      </c>
      <c r="B11" s="17"/>
      <c r="C11" s="17"/>
      <c r="D11" s="17"/>
      <c r="E11" s="17"/>
      <c r="F11" s="17"/>
      <c r="G11" s="17"/>
      <c r="H11" s="17"/>
    </row>
    <row r="12" spans="1:8" x14ac:dyDescent="0.2">
      <c r="A12" s="3" t="s">
        <v>26</v>
      </c>
      <c r="B12" s="3" t="s">
        <v>90</v>
      </c>
      <c r="E12" s="3" t="s">
        <v>11</v>
      </c>
    </row>
    <row r="13" spans="1:8" x14ac:dyDescent="0.2">
      <c r="A13">
        <v>70</v>
      </c>
      <c r="B13" s="8">
        <f>_xldudf_OPENFERRIC_SABR_VOL(B4,A13,B5,B6,B7,B8,B9)</f>
        <v>6.1148181614200631E-2</v>
      </c>
      <c r="E13" s="5">
        <f>_xldudf_OPENFERRIC_SABR_VOL(B4,A13,B5,B6,B7,B8,B9)</f>
        <v>6.1148181614200631E-2</v>
      </c>
    </row>
    <row r="14" spans="1:8" x14ac:dyDescent="0.2">
      <c r="A14">
        <v>75</v>
      </c>
      <c r="B14" s="8">
        <f>_xldudf_OPENFERRIC_SABR_VOL(B4,A14,B5,B6,B7,B8,B9)</f>
        <v>5.3571294931340281E-2</v>
      </c>
      <c r="E14" s="5">
        <f>_xldudf_OPENFERRIC_SABR_VOL(B4,A14,B5,B6,B7,B8,B9)</f>
        <v>5.3571294931340281E-2</v>
      </c>
    </row>
    <row r="15" spans="1:8" x14ac:dyDescent="0.2">
      <c r="A15">
        <v>80</v>
      </c>
      <c r="B15" s="8">
        <f>_xldudf_OPENFERRIC_SABR_VOL(B4,A15,B5,B6,B7,B8,B9)</f>
        <v>4.6253034780613912E-2</v>
      </c>
      <c r="E15" s="5">
        <f>_xldudf_OPENFERRIC_SABR_VOL(B4,A15,B5,B6,B7,B8,B9)</f>
        <v>4.6253034780613912E-2</v>
      </c>
    </row>
    <row r="16" spans="1:8" x14ac:dyDescent="0.2">
      <c r="A16">
        <v>85</v>
      </c>
      <c r="B16" s="8">
        <f>_xldudf_OPENFERRIC_SABR_VOL(B4,A16,B5,B6,B7,B8,B9)</f>
        <v>3.9127878026024014E-2</v>
      </c>
      <c r="E16" s="5">
        <f>_xldudf_OPENFERRIC_SABR_VOL(B4,A16,B5,B6,B7,B8,B9)</f>
        <v>3.9127878026024014E-2</v>
      </c>
    </row>
    <row r="17" spans="1:5" x14ac:dyDescent="0.2">
      <c r="A17">
        <v>90</v>
      </c>
      <c r="B17" s="8">
        <f>_xldudf_OPENFERRIC_SABR_VOL(B4,A17,B5,B6,B7,B8,B9)</f>
        <v>3.2160017395919289E-2</v>
      </c>
      <c r="E17" s="5">
        <f>_xldudf_OPENFERRIC_SABR_VOL(B4,A17,B5,B6,B7,B8,B9)</f>
        <v>3.2160017395919289E-2</v>
      </c>
    </row>
    <row r="18" spans="1:5" x14ac:dyDescent="0.2">
      <c r="A18">
        <v>95</v>
      </c>
      <c r="B18" s="8">
        <f>_xldudf_OPENFERRIC_SABR_VOL(B4,A18,B5,B6,B7,B8,B9)</f>
        <v>2.5471086304774886E-2</v>
      </c>
      <c r="E18" s="5">
        <f>_xldudf_OPENFERRIC_SABR_VOL(B4,A18,B5,B6,B7,B8,B9)</f>
        <v>2.5471086304774886E-2</v>
      </c>
    </row>
    <row r="19" spans="1:5" x14ac:dyDescent="0.2">
      <c r="A19">
        <v>100</v>
      </c>
      <c r="B19" s="8">
        <f>_xldudf_OPENFERRIC_SABR_VOL(B4,A19,B5,B6,B7,B8,B9)</f>
        <v>2.022475E-2</v>
      </c>
      <c r="E19" s="5">
        <f>_xldudf_OPENFERRIC_SABR_VOL(B4,A19,B5,B6,B7,B8,B9)</f>
        <v>2.022475E-2</v>
      </c>
    </row>
    <row r="20" spans="1:5" x14ac:dyDescent="0.2">
      <c r="A20">
        <v>105</v>
      </c>
      <c r="B20" s="8">
        <f>_xldudf_OPENFERRIC_SABR_VOL(B4,A20,B5,B6,B7,B8,B9)</f>
        <v>2.0152202126029257E-2</v>
      </c>
      <c r="E20" s="5">
        <f>_xldudf_OPENFERRIC_SABR_VOL(B4,A20,B5,B6,B7,B8,B9)</f>
        <v>2.0152202126029257E-2</v>
      </c>
    </row>
    <row r="21" spans="1:5" x14ac:dyDescent="0.2">
      <c r="A21">
        <v>110</v>
      </c>
      <c r="B21" s="8">
        <f>_xldudf_OPENFERRIC_SABR_VOL(B4,A21,B5,B6,B7,B8,B9)</f>
        <v>2.3701755489339241E-2</v>
      </c>
      <c r="E21" s="5">
        <f>_xldudf_OPENFERRIC_SABR_VOL(B4,A21,B5,B6,B7,B8,B9)</f>
        <v>2.3701755489339241E-2</v>
      </c>
    </row>
    <row r="22" spans="1:5" x14ac:dyDescent="0.2">
      <c r="A22">
        <v>115</v>
      </c>
      <c r="B22" s="8">
        <f>_xldudf_OPENFERRIC_SABR_VOL(B4,A22,B5,B6,B7,B8,B9)</f>
        <v>2.7768620474076158E-2</v>
      </c>
      <c r="E22" s="5">
        <f>_xldudf_OPENFERRIC_SABR_VOL(B4,A22,B5,B6,B7,B8,B9)</f>
        <v>2.7768620474076158E-2</v>
      </c>
    </row>
    <row r="23" spans="1:5" x14ac:dyDescent="0.2">
      <c r="A23">
        <v>120</v>
      </c>
      <c r="B23" s="8">
        <f>_xldudf_OPENFERRIC_SABR_VOL(B4,A23,B5,B6,B7,B8,B9)</f>
        <v>3.1706429209537326E-2</v>
      </c>
      <c r="E23" s="5">
        <f>_xldudf_OPENFERRIC_SABR_VOL(B4,A23,B5,B6,B7,B8,B9)</f>
        <v>3.1706429209537326E-2</v>
      </c>
    </row>
    <row r="24" spans="1:5" x14ac:dyDescent="0.2">
      <c r="A24">
        <v>125</v>
      </c>
      <c r="B24" s="8">
        <f>_xldudf_OPENFERRIC_SABR_VOL(B4,A24,B5,B6,B7,B8,B9)</f>
        <v>3.5417795245797058E-2</v>
      </c>
      <c r="E24" s="5">
        <f>_xldudf_OPENFERRIC_SABR_VOL(B4,A24,B5,B6,B7,B8,B9)</f>
        <v>3.5417795245797058E-2</v>
      </c>
    </row>
    <row r="25" spans="1:5" x14ac:dyDescent="0.2">
      <c r="A25">
        <v>130</v>
      </c>
      <c r="B25" s="8">
        <f>_xldudf_OPENFERRIC_SABR_VOL(B4,A25,B5,B6,B7,B8,B9)</f>
        <v>3.8902237418780489E-2</v>
      </c>
      <c r="E25" s="5">
        <f>_xldudf_OPENFERRIC_SABR_VOL(B4,A25,B5,B6,B7,B8,B9)</f>
        <v>3.8902237418780489E-2</v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D59"/>
  <sheetViews>
    <sheetView workbookViewId="0">
      <selection activeCell="A61" sqref="A61"/>
    </sheetView>
  </sheetViews>
  <sheetFormatPr baseColWidth="10" defaultColWidth="8.83203125" defaultRowHeight="15" x14ac:dyDescent="0.2"/>
  <cols>
    <col min="1" max="1" width="18" customWidth="1"/>
    <col min="2" max="2" width="14" customWidth="1"/>
    <col min="3" max="3" width="4" customWidth="1"/>
    <col min="4" max="4" width="55" customWidth="1"/>
  </cols>
  <sheetData>
    <row r="1" spans="1:4" ht="28" customHeight="1" x14ac:dyDescent="0.2">
      <c r="A1" s="18" t="s">
        <v>91</v>
      </c>
      <c r="B1" s="17"/>
      <c r="C1" s="17"/>
      <c r="D1" s="17"/>
    </row>
    <row r="3" spans="1:4" ht="22" customHeight="1" x14ac:dyDescent="0.2">
      <c r="A3" s="16" t="s">
        <v>92</v>
      </c>
      <c r="B3" s="17"/>
      <c r="C3" s="17"/>
      <c r="D3" s="17"/>
    </row>
    <row r="4" spans="1:4" x14ac:dyDescent="0.2">
      <c r="A4" t="s">
        <v>93</v>
      </c>
      <c r="B4" s="13">
        <v>-2.1610000000000002E-3</v>
      </c>
    </row>
    <row r="5" spans="1:4" x14ac:dyDescent="0.2">
      <c r="A5" t="s">
        <v>94</v>
      </c>
      <c r="B5" s="13">
        <v>-2.594E-3</v>
      </c>
    </row>
    <row r="6" spans="1:4" x14ac:dyDescent="0.2">
      <c r="A6" t="s">
        <v>95</v>
      </c>
      <c r="B6" s="13">
        <v>-1.67E-3</v>
      </c>
    </row>
    <row r="7" spans="1:4" x14ac:dyDescent="0.2">
      <c r="A7" t="s">
        <v>96</v>
      </c>
      <c r="B7" s="13">
        <v>1.0529999999999999E-2</v>
      </c>
    </row>
    <row r="8" spans="1:4" x14ac:dyDescent="0.2">
      <c r="A8" t="s">
        <v>97</v>
      </c>
      <c r="B8" s="13">
        <v>-1.9139999999999999E-3</v>
      </c>
    </row>
    <row r="9" spans="1:4" x14ac:dyDescent="0.2">
      <c r="A9" t="s">
        <v>98</v>
      </c>
      <c r="B9" s="13">
        <v>-2.2460000000000001E-2</v>
      </c>
    </row>
    <row r="10" spans="1:4" x14ac:dyDescent="0.2">
      <c r="A10" t="s">
        <v>99</v>
      </c>
      <c r="B10" s="13">
        <v>4.9849999999999998E-3</v>
      </c>
    </row>
    <row r="11" spans="1:4" x14ac:dyDescent="0.2">
      <c r="A11" t="s">
        <v>100</v>
      </c>
      <c r="B11" s="13">
        <v>-4.0099999999999997E-3</v>
      </c>
    </row>
    <row r="12" spans="1:4" x14ac:dyDescent="0.2">
      <c r="A12" t="s">
        <v>101</v>
      </c>
      <c r="B12" s="13">
        <v>-3.2539999999999999E-3</v>
      </c>
    </row>
    <row r="13" spans="1:4" x14ac:dyDescent="0.2">
      <c r="A13" t="s">
        <v>102</v>
      </c>
      <c r="B13" s="13">
        <v>1.738E-3</v>
      </c>
    </row>
    <row r="14" spans="1:4" x14ac:dyDescent="0.2">
      <c r="A14" t="s">
        <v>103</v>
      </c>
      <c r="B14" s="13">
        <v>3.4840000000000001E-3</v>
      </c>
    </row>
    <row r="15" spans="1:4" x14ac:dyDescent="0.2">
      <c r="A15" t="s">
        <v>104</v>
      </c>
      <c r="B15" s="13">
        <v>1.7453E-2</v>
      </c>
    </row>
    <row r="16" spans="1:4" x14ac:dyDescent="0.2">
      <c r="A16" t="s">
        <v>105</v>
      </c>
      <c r="B16" s="13">
        <v>9.8499999999999994E-3</v>
      </c>
    </row>
    <row r="17" spans="1:2" x14ac:dyDescent="0.2">
      <c r="A17" t="s">
        <v>106</v>
      </c>
      <c r="B17" s="13">
        <v>1.658E-3</v>
      </c>
    </row>
    <row r="18" spans="1:2" x14ac:dyDescent="0.2">
      <c r="A18" t="s">
        <v>107</v>
      </c>
      <c r="B18" s="13">
        <v>-1.1075E-2</v>
      </c>
    </row>
    <row r="19" spans="1:2" x14ac:dyDescent="0.2">
      <c r="A19" t="s">
        <v>108</v>
      </c>
      <c r="B19" s="13">
        <v>-1.5219999999999999E-2</v>
      </c>
    </row>
    <row r="20" spans="1:2" x14ac:dyDescent="0.2">
      <c r="A20" t="s">
        <v>109</v>
      </c>
      <c r="B20" s="13">
        <v>3.6949999999999999E-3</v>
      </c>
    </row>
    <row r="21" spans="1:2" x14ac:dyDescent="0.2">
      <c r="A21" t="s">
        <v>110</v>
      </c>
      <c r="B21" s="13">
        <v>1.9665999999999999E-2</v>
      </c>
    </row>
    <row r="22" spans="1:2" x14ac:dyDescent="0.2">
      <c r="A22" t="s">
        <v>111</v>
      </c>
      <c r="B22" s="13">
        <v>6.2500000000000001E-4</v>
      </c>
    </row>
    <row r="23" spans="1:2" x14ac:dyDescent="0.2">
      <c r="A23" t="s">
        <v>112</v>
      </c>
      <c r="B23" s="13">
        <v>-1.5950000000000001E-3</v>
      </c>
    </row>
    <row r="24" spans="1:2" x14ac:dyDescent="0.2">
      <c r="A24" t="s">
        <v>113</v>
      </c>
      <c r="B24" s="13">
        <v>7.9769999999999997E-3</v>
      </c>
    </row>
    <row r="25" spans="1:2" x14ac:dyDescent="0.2">
      <c r="A25" t="s">
        <v>114</v>
      </c>
      <c r="B25" s="13">
        <v>-2.1802999999999999E-2</v>
      </c>
    </row>
    <row r="26" spans="1:2" x14ac:dyDescent="0.2">
      <c r="A26" t="s">
        <v>115</v>
      </c>
      <c r="B26" s="13">
        <v>-4.6839999999999998E-3</v>
      </c>
    </row>
    <row r="27" spans="1:2" x14ac:dyDescent="0.2">
      <c r="A27" t="s">
        <v>116</v>
      </c>
      <c r="B27" s="13">
        <v>7.3550000000000004E-3</v>
      </c>
    </row>
    <row r="28" spans="1:2" x14ac:dyDescent="0.2">
      <c r="A28" t="s">
        <v>117</v>
      </c>
      <c r="B28" s="13">
        <v>1.3101E-2</v>
      </c>
    </row>
    <row r="29" spans="1:2" x14ac:dyDescent="0.2">
      <c r="A29" t="s">
        <v>118</v>
      </c>
      <c r="B29" s="13">
        <v>-3.6089999999999998E-3</v>
      </c>
    </row>
    <row r="30" spans="1:2" x14ac:dyDescent="0.2">
      <c r="A30" t="s">
        <v>119</v>
      </c>
      <c r="B30" s="13">
        <v>5.6490000000000004E-3</v>
      </c>
    </row>
    <row r="31" spans="1:2" x14ac:dyDescent="0.2">
      <c r="A31" t="s">
        <v>120</v>
      </c>
      <c r="B31" s="13">
        <v>3.7230000000000002E-3</v>
      </c>
    </row>
    <row r="32" spans="1:2" x14ac:dyDescent="0.2">
      <c r="A32" t="s">
        <v>121</v>
      </c>
      <c r="B32" s="13">
        <v>1.1735000000000001E-2</v>
      </c>
    </row>
    <row r="33" spans="1:2" x14ac:dyDescent="0.2">
      <c r="A33" t="s">
        <v>122</v>
      </c>
      <c r="B33" s="13">
        <v>-1.6698000000000001E-2</v>
      </c>
    </row>
    <row r="34" spans="1:2" x14ac:dyDescent="0.2">
      <c r="A34" t="s">
        <v>123</v>
      </c>
      <c r="B34" s="13">
        <v>8.5240000000000003E-3</v>
      </c>
    </row>
    <row r="35" spans="1:2" x14ac:dyDescent="0.2">
      <c r="A35" t="s">
        <v>124</v>
      </c>
      <c r="B35" s="13">
        <v>-2.2717999999999999E-2</v>
      </c>
    </row>
    <row r="36" spans="1:2" x14ac:dyDescent="0.2">
      <c r="A36" t="s">
        <v>125</v>
      </c>
      <c r="B36" s="13">
        <v>-3.9299000000000001E-2</v>
      </c>
    </row>
    <row r="37" spans="1:2" x14ac:dyDescent="0.2">
      <c r="A37" t="s">
        <v>126</v>
      </c>
      <c r="B37" s="13">
        <v>-9.103E-3</v>
      </c>
    </row>
    <row r="38" spans="1:2" x14ac:dyDescent="0.2">
      <c r="A38" t="s">
        <v>127</v>
      </c>
      <c r="B38" s="13">
        <v>-1.3736999999999999E-2</v>
      </c>
    </row>
    <row r="39" spans="1:2" x14ac:dyDescent="0.2">
      <c r="A39" t="s">
        <v>128</v>
      </c>
      <c r="B39" s="13">
        <v>1.3140000000000001E-2</v>
      </c>
    </row>
    <row r="40" spans="1:2" x14ac:dyDescent="0.2">
      <c r="A40" t="s">
        <v>129</v>
      </c>
      <c r="B40" s="13">
        <v>9.9640000000000006E-3</v>
      </c>
    </row>
    <row r="41" spans="1:2" x14ac:dyDescent="0.2">
      <c r="A41" t="s">
        <v>130</v>
      </c>
      <c r="B41" s="13">
        <v>-1.8286E-2</v>
      </c>
    </row>
    <row r="42" spans="1:2" x14ac:dyDescent="0.2">
      <c r="A42" t="s">
        <v>131</v>
      </c>
      <c r="B42" s="13">
        <v>1.2710000000000001E-2</v>
      </c>
    </row>
    <row r="43" spans="1:2" x14ac:dyDescent="0.2">
      <c r="A43" t="s">
        <v>132</v>
      </c>
      <c r="B43" s="13">
        <v>-1.5032999999999999E-2</v>
      </c>
    </row>
    <row r="44" spans="1:2" x14ac:dyDescent="0.2">
      <c r="A44" t="s">
        <v>133</v>
      </c>
      <c r="B44" s="13">
        <v>-1.294E-3</v>
      </c>
    </row>
    <row r="45" spans="1:2" x14ac:dyDescent="0.2">
      <c r="A45" t="s">
        <v>134</v>
      </c>
      <c r="B45" s="13">
        <v>-4.4079999999999996E-3</v>
      </c>
    </row>
    <row r="46" spans="1:2" x14ac:dyDescent="0.2">
      <c r="A46" t="s">
        <v>135</v>
      </c>
      <c r="B46" s="13">
        <v>1.7160000000000001E-3</v>
      </c>
    </row>
    <row r="47" spans="1:2" x14ac:dyDescent="0.2">
      <c r="A47" t="s">
        <v>136</v>
      </c>
      <c r="B47" s="13">
        <v>1.2279999999999999E-2</v>
      </c>
    </row>
    <row r="48" spans="1:2" x14ac:dyDescent="0.2">
      <c r="A48" t="s">
        <v>137</v>
      </c>
      <c r="B48" s="13">
        <v>9.5759999999999994E-3</v>
      </c>
    </row>
    <row r="49" spans="1:4" x14ac:dyDescent="0.2">
      <c r="A49" t="s">
        <v>138</v>
      </c>
      <c r="B49" s="13">
        <v>5.2480000000000001E-3</v>
      </c>
    </row>
    <row r="50" spans="1:4" x14ac:dyDescent="0.2">
      <c r="A50" t="s">
        <v>139</v>
      </c>
      <c r="B50" s="13">
        <v>9.7490000000000007E-3</v>
      </c>
    </row>
    <row r="51" spans="1:4" x14ac:dyDescent="0.2">
      <c r="A51" t="s">
        <v>140</v>
      </c>
      <c r="B51" s="13">
        <v>7.1770000000000002E-3</v>
      </c>
    </row>
    <row r="52" spans="1:4" x14ac:dyDescent="0.2">
      <c r="A52" t="s">
        <v>141</v>
      </c>
      <c r="B52" s="13">
        <v>-9.4050000000000002E-3</v>
      </c>
    </row>
    <row r="53" spans="1:4" x14ac:dyDescent="0.2">
      <c r="A53" t="s">
        <v>142</v>
      </c>
      <c r="B53" s="13">
        <v>-1.0761E-2</v>
      </c>
    </row>
    <row r="55" spans="1:4" ht="22" customHeight="1" x14ac:dyDescent="0.2">
      <c r="A55" s="16" t="s">
        <v>143</v>
      </c>
      <c r="B55" s="17"/>
      <c r="C55" s="17"/>
      <c r="D55" s="17"/>
    </row>
    <row r="56" spans="1:4" x14ac:dyDescent="0.2">
      <c r="A56" s="3" t="s">
        <v>144</v>
      </c>
      <c r="B56" s="3" t="s">
        <v>145</v>
      </c>
      <c r="D56" s="3" t="s">
        <v>11</v>
      </c>
    </row>
    <row r="57" spans="1:4" x14ac:dyDescent="0.2">
      <c r="A57" s="14">
        <v>0.9</v>
      </c>
      <c r="B57" s="15">
        <f>_xldudf_OPENFERRIC_VAR(B4:B53,A57)</f>
        <v>1.6856800000000002E-2</v>
      </c>
      <c r="D57" s="5">
        <f>_xldudf_OPENFERRIC_VAR(B4:B53,A57)</f>
        <v>1.6856800000000002E-2</v>
      </c>
    </row>
    <row r="58" spans="1:4" x14ac:dyDescent="0.2">
      <c r="A58" s="14">
        <v>0.95</v>
      </c>
      <c r="B58" s="15">
        <f>_xldudf_OPENFERRIC_VAR(B4:B53,A58)</f>
        <v>2.2164349999999999E-2</v>
      </c>
      <c r="D58" s="5">
        <f>_xldudf_OPENFERRIC_VAR(B4:B53,A58)</f>
        <v>2.2164349999999999E-2</v>
      </c>
    </row>
    <row r="59" spans="1:4" x14ac:dyDescent="0.2">
      <c r="A59" s="14">
        <v>0.99</v>
      </c>
      <c r="B59" s="15">
        <f>_xldudf_OPENFERRIC_VAR(B4:B53,A59)</f>
        <v>3.1174309999999969E-2</v>
      </c>
      <c r="D59" s="5">
        <f>_xldudf_OPENFERRIC_VAR(B4:B53,A59)</f>
        <v>3.1174309999999969E-2</v>
      </c>
    </row>
  </sheetData>
  <mergeCells count="3">
    <mergeCell ref="A55:D55"/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 Pricing</vt:lpstr>
      <vt:lpstr>Heston</vt:lpstr>
      <vt:lpstr>Barriers</vt:lpstr>
      <vt:lpstr>Bonds &amp; CDS</vt:lpstr>
      <vt:lpstr>SABR Vol</vt:lpstr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Saunders</cp:lastModifiedBy>
  <dcterms:created xsi:type="dcterms:W3CDTF">2026-02-22T10:52:03Z</dcterms:created>
  <dcterms:modified xsi:type="dcterms:W3CDTF">2026-02-22T11:43:30Z</dcterms:modified>
</cp:coreProperties>
</file>